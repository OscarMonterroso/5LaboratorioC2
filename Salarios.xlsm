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5LaboratorioC2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E8" i="2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<sst xmlns="http://schemas.openxmlformats.org/spreadsheetml/2006/main" count="475" uniqueCount="187">
  <si>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</si>
  <si>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</si>
  <si>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</si>
  <si>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</si>
  <si>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</si>
  <si>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</si>
  <si>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</si>
  <si>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</si>
  <si>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</si>
  <si>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</si>
  <si>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</si>
  <si>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</si>
  <si>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</si>
  <si>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</si>
  <si>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</si>
  <si>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</si>
  <si>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</si>
  <si>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</si>
  <si>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</si>
  <si>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</si>
  <si>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</si>
  <si>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</si>
  <si>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</si>
  <si>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</si>
  <si>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</si>
  <si>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</si>
  <si>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</si>
  <si>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</si>
  <si>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</si>
  <si>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</si>
  <si>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</si>
  <si>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</si>
  <si>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</si>
  <si>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</si>
  <si>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</si>
  <si>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</si>
  <si>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</si>
  <si>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</si>
  <si>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</si>
  <si>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</si>
  <si>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</si>
  <si>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</si>
  <si>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</si>
  <si>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</si>
  <si>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</si>
  <si>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</si>
  <si>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</si>
  <si>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</si>
  <si>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</si>
  <si>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</si>
  <si>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</si>
  <si>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</si>
  <si>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</si>
  <si>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</si>
  <si>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</si>
  <si>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</si>
  <si>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</si>
  <si>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</si>
  <si>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</si>
  <si>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</si>
  <si>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</si>
  <si>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</si>
  <si>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</si>
  <si>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</si>
  <si>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</si>
  <si>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</si>
  <si>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</si>
  <si>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</si>
  <si>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</si>
  <si>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</si>
  <si>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</si>
  <si>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</si>
  <si>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</si>
  <si>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</si>
  <si>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</si>
  <si>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</si>
  <si>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</si>
  <si>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</si>
  <si>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</si>
  <si>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</si>
  <si>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</si>
  <si>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</si>
  <si>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</si>
  <si>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</si>
  <si>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</si>
  <si>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</si>
  <si>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</si>
  <si>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</si>
  <si>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</si>
  <si>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</si>
  <si>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</si>
  <si>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</si>
  <si>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</si>
  <si>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</si>
  <si>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</si>
  <si>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</si>
  <si>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</si>
  <si>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</si>
  <si>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</si>
  <si>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</si>
  <si>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</si>
  <si>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</si>
  <si>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</si>
  <si>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</si>
  <si>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</si>
  <si>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</si>
  <si>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</si>
  <si>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</si>
  <si>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</si>
  <si>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</si>
  <si>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</si>
  <si>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</si>
  <si>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</si>
  <si>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</si>
  <si>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</si>
  <si>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</si>
  <si>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</si>
  <si>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</si>
  <si>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</si>
  <si>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</si>
  <si>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</si>
  <si>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</si>
  <si>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</si>
  <si>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</si>
  <si>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</si>
  <si>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</si>
  <si>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</si>
  <si>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</si>
  <si>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</si>
  <si>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</si>
  <si>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</si>
  <si>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</si>
  <si>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</si>
  <si>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</si>
  <si>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</si>
  <si>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</si>
  <si>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</si>
  <si>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</si>
  <si>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</si>
  <si>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</si>
  <si>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</si>
  <si>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</si>
  <si>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</si>
  <si>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</si>
  <si>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</si>
  <si>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</si>
  <si>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</si>
  <si>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</si>
  <si>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</si>
  <si>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</si>
  <si>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</si>
  <si>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</si>
  <si>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</si>
  <si>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</si>
  <si>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</si>
  <si>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</si>
  <si>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</si>
  <si>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</si>
  <si>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</si>
  <si>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</si>
  <si>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</si>
  <si>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</si>
  <si>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</si>
  <si>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</si>
  <si>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</si>
  <si>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</si>
  <si>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</si>
  <si>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</si>
  <si>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</si>
  <si>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</si>
  <si>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</si>
  <si>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</si>
  <si>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</si>
  <si>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</si>
  <si>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</si>
  <si>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</si>
  <si>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</si>
  <si>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</si>
  <si>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</si>
  <si>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</si>
  <si>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</si>
  <si>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</si>
  <si>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</si>
  <si>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</si>
  <si>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Oscar Garcia</t>
  </si>
  <si>
    <t>5to Bachillerato</t>
  </si>
  <si>
    <t>Alva campos,victor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</si>
</sst>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yy;@"/>
    <numFmt numFmtId="165" formatCode="_([$Q-100A]* #,##0.00_);_([$Q-100A]* \(#,##0.00\);_([$Q-100A]* &quot;-&quot;??_);_(@_)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4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165" fontId="7" fillId="0" borderId="0" xfId="3" applyNumberFormat="1" applyFont="1" applyBorder="1"/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orcentaje" xfId="3" builtinId="5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salario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'Libro Salarios'!$A$14:$S$16</c15:sqref>
                  </c15:fullRef>
                  <c15:levelRef>
                    <c15:sqref>'Libro Salarios'!$A$14:$S$14</c15:sqref>
                  </c15:levelRef>
                </c:ext>
              </c:extLst>
              <c:f>'Libro Salarios'!$A$14:$S$14</c:f>
              <c:strCache>
                <c:ptCount val="19"/>
                <c:pt idx="0">
                  <c:v>No. de  orden</c:v>
                </c:pt>
                <c:pt idx="1">
                  <c:v>Perìodo</c:v>
                </c:pt>
                <c:pt idx="2">
                  <c:v>Salario</c:v>
                </c:pt>
                <c:pt idx="3">
                  <c:v>Dias trabajados</c:v>
                </c:pt>
                <c:pt idx="4">
                  <c:v>HORAS  TRABAJADAS</c:v>
                </c:pt>
                <c:pt idx="6">
                  <c:v>SALARIO DEVENGADO</c:v>
                </c:pt>
                <c:pt idx="10">
                  <c:v>SALARIO  TOTAL</c:v>
                </c:pt>
                <c:pt idx="11">
                  <c:v>DEDUCCIONES  LEGALES</c:v>
                </c:pt>
                <c:pt idx="14">
                  <c:v>Decreto 42-92, Aguinaldo, y otros</c:v>
                </c:pt>
                <c:pt idx="15">
                  <c:v>Bonificación Incentivo Dec. 37-2001</c:v>
                </c:pt>
                <c:pt idx="16">
                  <c:v>Liquido  a           Recibir</c:v>
                </c:pt>
                <c:pt idx="17">
                  <c:v>FIRMA</c:v>
                </c:pt>
                <c:pt idx="18">
                  <c:v>Observaciones</c:v>
                </c:pt>
              </c:strCache>
            </c:strRef>
          </c:cat>
          <c:val>
            <c:numRef>
              <c:f>'Libro Salarios'!$A$17:$S$17</c:f>
              <c:numCache>
                <c:formatCode>General</c:formatCode>
                <c:ptCount val="19"/>
                <c:pt idx="0">
                  <c:v>5</c:v>
                </c:pt>
                <c:pt idx="1">
                  <c:v>8</c:v>
                </c:pt>
                <c:pt idx="2" formatCode="_([$Q-100A]* #,##0.00_);_([$Q-100A]* \(#,##0.00\);_([$Q-100A]* &quot;-&quot;??_);_(@_)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4-40B3-9B33-E862D3A12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15409144"/>
        <c:axId val="415408816"/>
      </c:barChart>
      <c:catAx>
        <c:axId val="415409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5408816"/>
        <c:crosses val="autoZero"/>
        <c:auto val="1"/>
        <c:lblAlgn val="ctr"/>
        <c:lblOffset val="100"/>
        <c:noMultiLvlLbl val="0"/>
      </c:catAx>
      <c:valAx>
        <c:axId val="41540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540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21</xdr:row>
      <xdr:rowOff>14287</xdr:rowOff>
    </xdr:from>
    <xdr:to>
      <xdr:col>7</xdr:col>
      <xdr:colOff>23812</xdr:colOff>
      <xdr:row>35</xdr:row>
      <xdr:rowOff>90487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="160" zoomScaleNormal="160" workbookViewId="0">
      <selection activeCell="G20" sqref="G20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7" t="s">
        <v>174</v>
      </c>
      <c r="C4" s="58"/>
      <c r="D4" s="58"/>
      <c r="E4" s="58"/>
      <c r="F4" s="59"/>
    </row>
    <row r="5" spans="2:11">
      <c r="B5" s="60"/>
      <c r="C5" s="61"/>
      <c r="D5" s="61"/>
      <c r="E5" s="61"/>
      <c r="F5" s="62"/>
      <c r="I5" s="54">
        <v>1</v>
      </c>
      <c r="J5" s="54" t="s">
        <v>180</v>
      </c>
      <c r="K5" s="54" t="s">
        <v>182</v>
      </c>
    </row>
    <row r="6" spans="2:11" ht="15.75" thickBot="1">
      <c r="B6" s="63"/>
      <c r="C6" s="64"/>
      <c r="D6" s="64"/>
      <c r="E6" s="64"/>
      <c r="F6" s="65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56">
        <v>5</v>
      </c>
      <c r="E8" s="56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56" t="s">
        <v>184</v>
      </c>
      <c r="E10" s="56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56" t="s">
        <v>185</v>
      </c>
      <c r="E12" s="56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56" t="s">
        <v>181</v>
      </c>
      <c r="E14" s="56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56" t="s">
        <v>182</v>
      </c>
      <c r="E16" s="56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F107" sqref="F107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6" t="s">
        <v>171</v>
      </c>
      <c r="B1" s="66"/>
      <c r="C1" s="66"/>
      <c r="D1" s="66"/>
      <c r="E1" s="66"/>
      <c r="F1" s="66"/>
      <c r="G1" s="66"/>
      <c r="H1" s="66"/>
      <c r="I1" s="66"/>
    </row>
    <row r="2" spans="1:9" ht="15.6" customHeight="1">
      <c r="A2" s="66"/>
      <c r="B2" s="66"/>
      <c r="C2" s="66"/>
      <c r="D2" s="66"/>
      <c r="E2" s="66"/>
      <c r="F2" s="66"/>
      <c r="G2" s="66"/>
      <c r="H2" s="66"/>
      <c r="I2" s="66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28</v>
      </c>
      <c r="D5" s="36" t="s">
        <v>152</v>
      </c>
      <c r="E5" s="36">
        <f t="shared" ref="E5:E36" ca="1" si="1">RANDBETWEEN(18,41)</f>
        <v>19</v>
      </c>
      <c r="F5" s="36" t="s">
        <v>155</v>
      </c>
      <c r="G5" s="42">
        <f t="shared" ref="G5:G36" ca="1" si="2">RANDBETWEEN(2000000000101,9000000009999)</f>
        <v>4991438558749</v>
      </c>
      <c r="H5" s="43">
        <f t="shared" ref="H5:H36" ca="1" si="3">RANDBETWEEN(DATE(2001,1,1),DATE(2018,7,15))</f>
        <v>41957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28</v>
      </c>
      <c r="D6" s="36" t="s">
        <v>152</v>
      </c>
      <c r="E6" s="36">
        <f t="shared" ca="1" si="1"/>
        <v>40</v>
      </c>
      <c r="F6" s="36" t="s">
        <v>156</v>
      </c>
      <c r="G6" s="42">
        <f t="shared" ca="1" si="2"/>
        <v>8034833063809</v>
      </c>
      <c r="H6" s="43">
        <f t="shared" ca="1" si="3"/>
        <v>38115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29</v>
      </c>
      <c r="D7" s="36" t="s">
        <v>152</v>
      </c>
      <c r="E7" s="36">
        <f t="shared" ca="1" si="1"/>
        <v>41</v>
      </c>
      <c r="F7" s="36" t="s">
        <v>158</v>
      </c>
      <c r="G7" s="42">
        <f t="shared" ca="1" si="2"/>
        <v>3931751229859</v>
      </c>
      <c r="H7" s="43">
        <f t="shared" ca="1" si="3"/>
        <v>37124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25</v>
      </c>
      <c r="D8" s="36" t="s">
        <v>152</v>
      </c>
      <c r="E8" s="36">
        <f t="shared" ca="1" si="1"/>
        <v>39</v>
      </c>
      <c r="F8" s="36" t="s">
        <v>160</v>
      </c>
      <c r="G8" s="42">
        <f t="shared" ca="1" si="2"/>
        <v>8229706366806</v>
      </c>
      <c r="H8" s="43">
        <f t="shared" ca="1" si="3"/>
        <v>39987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28</v>
      </c>
      <c r="D9" s="36" t="s">
        <v>152</v>
      </c>
      <c r="E9" s="36">
        <f t="shared" ca="1" si="1"/>
        <v>25</v>
      </c>
      <c r="F9" s="36" t="s">
        <v>167</v>
      </c>
      <c r="G9" s="42">
        <f t="shared" ca="1" si="2"/>
        <v>4872439154319</v>
      </c>
      <c r="H9" s="43">
        <f t="shared" ca="1" si="3"/>
        <v>42691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25</v>
      </c>
      <c r="D10" s="36" t="s">
        <v>152</v>
      </c>
      <c r="E10" s="36">
        <f t="shared" ca="1" si="1"/>
        <v>22</v>
      </c>
      <c r="F10" s="36" t="s">
        <v>162</v>
      </c>
      <c r="G10" s="42">
        <f t="shared" ca="1" si="2"/>
        <v>8571918504316</v>
      </c>
      <c r="H10" s="43">
        <f t="shared" ca="1" si="3"/>
        <v>41023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26</v>
      </c>
      <c r="D11" s="36" t="s">
        <v>152</v>
      </c>
      <c r="E11" s="36">
        <f t="shared" ca="1" si="1"/>
        <v>20</v>
      </c>
      <c r="F11" s="36" t="s">
        <v>154</v>
      </c>
      <c r="G11" s="42">
        <f t="shared" ca="1" si="2"/>
        <v>5016784129780</v>
      </c>
      <c r="H11" s="43">
        <f t="shared" ca="1" si="3"/>
        <v>41484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30</v>
      </c>
      <c r="D12" s="36" t="s">
        <v>152</v>
      </c>
      <c r="E12" s="36">
        <f t="shared" ca="1" si="1"/>
        <v>32</v>
      </c>
      <c r="F12" s="36" t="s">
        <v>163</v>
      </c>
      <c r="G12" s="42">
        <f t="shared" ca="1" si="2"/>
        <v>3219894665209</v>
      </c>
      <c r="H12" s="43">
        <f t="shared" ca="1" si="3"/>
        <v>42445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29</v>
      </c>
      <c r="D13" s="36" t="s">
        <v>153</v>
      </c>
      <c r="E13" s="36">
        <f t="shared" ca="1" si="1"/>
        <v>25</v>
      </c>
      <c r="F13" s="36" t="s">
        <v>156</v>
      </c>
      <c r="G13" s="42">
        <f t="shared" ca="1" si="2"/>
        <v>7641553492305</v>
      </c>
      <c r="H13" s="43">
        <f t="shared" ca="1" si="3"/>
        <v>38126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26</v>
      </c>
      <c r="D14" s="36" t="s">
        <v>152</v>
      </c>
      <c r="E14" s="36">
        <f t="shared" ca="1" si="1"/>
        <v>40</v>
      </c>
      <c r="F14" s="36" t="s">
        <v>167</v>
      </c>
      <c r="G14" s="42">
        <f t="shared" ca="1" si="2"/>
        <v>4094130219910</v>
      </c>
      <c r="H14" s="43">
        <f t="shared" ca="1" si="3"/>
        <v>42006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27</v>
      </c>
      <c r="D15" s="36" t="s">
        <v>152</v>
      </c>
      <c r="E15" s="36">
        <f t="shared" ca="1" si="1"/>
        <v>40</v>
      </c>
      <c r="F15" s="36" t="s">
        <v>167</v>
      </c>
      <c r="G15" s="42">
        <f t="shared" ca="1" si="2"/>
        <v>8276588080105</v>
      </c>
      <c r="H15" s="43">
        <f t="shared" ca="1" si="3"/>
        <v>39727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28</v>
      </c>
      <c r="D16" s="36" t="s">
        <v>153</v>
      </c>
      <c r="E16" s="36">
        <f t="shared" ca="1" si="1"/>
        <v>19</v>
      </c>
      <c r="F16" s="36" t="s">
        <v>154</v>
      </c>
      <c r="G16" s="42">
        <f t="shared" ca="1" si="2"/>
        <v>5905515137319</v>
      </c>
      <c r="H16" s="43">
        <f t="shared" ca="1" si="3"/>
        <v>43092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30</v>
      </c>
      <c r="D17" s="36" t="s">
        <v>153</v>
      </c>
      <c r="E17" s="36">
        <f t="shared" ca="1" si="1"/>
        <v>41</v>
      </c>
      <c r="F17" s="36" t="s">
        <v>159</v>
      </c>
      <c r="G17" s="42">
        <f t="shared" ca="1" si="2"/>
        <v>6601225194730</v>
      </c>
      <c r="H17" s="43">
        <f t="shared" ca="1" si="3"/>
        <v>37114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25</v>
      </c>
      <c r="D18" s="36" t="s">
        <v>153</v>
      </c>
      <c r="E18" s="36">
        <f t="shared" ca="1" si="1"/>
        <v>33</v>
      </c>
      <c r="F18" s="36" t="s">
        <v>156</v>
      </c>
      <c r="G18" s="42">
        <f t="shared" ca="1" si="2"/>
        <v>2132337535724</v>
      </c>
      <c r="H18" s="43">
        <f t="shared" ca="1" si="3"/>
        <v>37443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25</v>
      </c>
      <c r="D19" s="36" t="s">
        <v>152</v>
      </c>
      <c r="E19" s="36">
        <f t="shared" ca="1" si="1"/>
        <v>34</v>
      </c>
      <c r="F19" s="36" t="s">
        <v>156</v>
      </c>
      <c r="G19" s="42">
        <f t="shared" ca="1" si="2"/>
        <v>5980306701585</v>
      </c>
      <c r="H19" s="43">
        <f t="shared" ca="1" si="3"/>
        <v>39578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26</v>
      </c>
      <c r="D20" s="36" t="s">
        <v>152</v>
      </c>
      <c r="E20" s="36">
        <f t="shared" ca="1" si="1"/>
        <v>29</v>
      </c>
      <c r="F20" s="36" t="s">
        <v>156</v>
      </c>
      <c r="G20" s="42">
        <f t="shared" ca="1" si="2"/>
        <v>3929300363051</v>
      </c>
      <c r="H20" s="43">
        <f t="shared" ca="1" si="3"/>
        <v>42454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26</v>
      </c>
      <c r="D21" s="36" t="s">
        <v>152</v>
      </c>
      <c r="E21" s="36">
        <f t="shared" ca="1" si="1"/>
        <v>19</v>
      </c>
      <c r="F21" s="36" t="s">
        <v>158</v>
      </c>
      <c r="G21" s="42">
        <f t="shared" ca="1" si="2"/>
        <v>8199292347298</v>
      </c>
      <c r="H21" s="43">
        <f t="shared" ca="1" si="3"/>
        <v>41834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25</v>
      </c>
      <c r="D22" s="36" t="s">
        <v>153</v>
      </c>
      <c r="E22" s="36">
        <f t="shared" ca="1" si="1"/>
        <v>31</v>
      </c>
      <c r="F22" s="36" t="s">
        <v>159</v>
      </c>
      <c r="G22" s="42">
        <f t="shared" ca="1" si="2"/>
        <v>8138745732062</v>
      </c>
      <c r="H22" s="43">
        <f t="shared" ca="1" si="3"/>
        <v>42945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28</v>
      </c>
      <c r="D23" s="36" t="s">
        <v>153</v>
      </c>
      <c r="E23" s="36">
        <f t="shared" ca="1" si="1"/>
        <v>22</v>
      </c>
      <c r="F23" s="36" t="s">
        <v>155</v>
      </c>
      <c r="G23" s="42">
        <f t="shared" ca="1" si="2"/>
        <v>3320710620815</v>
      </c>
      <c r="H23" s="43">
        <f t="shared" ca="1" si="3"/>
        <v>40272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25</v>
      </c>
      <c r="D24" s="36" t="s">
        <v>153</v>
      </c>
      <c r="E24" s="36">
        <f t="shared" ca="1" si="1"/>
        <v>29</v>
      </c>
      <c r="F24" s="36" t="s">
        <v>167</v>
      </c>
      <c r="G24" s="42">
        <f t="shared" ca="1" si="2"/>
        <v>3845362497696</v>
      </c>
      <c r="H24" s="43">
        <f t="shared" ca="1" si="3"/>
        <v>37567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28</v>
      </c>
      <c r="D25" s="36" t="s">
        <v>153</v>
      </c>
      <c r="E25" s="36">
        <f t="shared" ca="1" si="1"/>
        <v>18</v>
      </c>
      <c r="F25" s="36" t="s">
        <v>159</v>
      </c>
      <c r="G25" s="42">
        <f t="shared" ca="1" si="2"/>
        <v>5256468947028</v>
      </c>
      <c r="H25" s="43">
        <f t="shared" ca="1" si="3"/>
        <v>39758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26</v>
      </c>
      <c r="D26" s="36" t="s">
        <v>152</v>
      </c>
      <c r="E26" s="36">
        <f t="shared" ca="1" si="1"/>
        <v>21</v>
      </c>
      <c r="F26" s="36" t="s">
        <v>156</v>
      </c>
      <c r="G26" s="42">
        <f t="shared" ca="1" si="2"/>
        <v>6041690152454</v>
      </c>
      <c r="H26" s="43">
        <f t="shared" ca="1" si="3"/>
        <v>40336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30</v>
      </c>
      <c r="D27" s="36" t="s">
        <v>152</v>
      </c>
      <c r="E27" s="36">
        <f t="shared" ca="1" si="1"/>
        <v>22</v>
      </c>
      <c r="F27" s="36" t="s">
        <v>169</v>
      </c>
      <c r="G27" s="42">
        <f t="shared" ca="1" si="2"/>
        <v>4738899138553</v>
      </c>
      <c r="H27" s="43">
        <f t="shared" ca="1" si="3"/>
        <v>39377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30</v>
      </c>
      <c r="D28" s="36" t="s">
        <v>153</v>
      </c>
      <c r="E28" s="36">
        <f t="shared" ca="1" si="1"/>
        <v>29</v>
      </c>
      <c r="F28" s="36" t="s">
        <v>156</v>
      </c>
      <c r="G28" s="42">
        <f t="shared" ca="1" si="2"/>
        <v>2496794826646</v>
      </c>
      <c r="H28" s="43">
        <f t="shared" ca="1" si="3"/>
        <v>38831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30</v>
      </c>
      <c r="D29" s="36" t="s">
        <v>152</v>
      </c>
      <c r="E29" s="36">
        <f t="shared" ca="1" si="1"/>
        <v>36</v>
      </c>
      <c r="F29" s="36" t="s">
        <v>160</v>
      </c>
      <c r="G29" s="42">
        <f t="shared" ca="1" si="2"/>
        <v>2288099555277</v>
      </c>
      <c r="H29" s="43">
        <f t="shared" ca="1" si="3"/>
        <v>41697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30</v>
      </c>
      <c r="D30" s="36" t="s">
        <v>153</v>
      </c>
      <c r="E30" s="36">
        <f t="shared" ca="1" si="1"/>
        <v>41</v>
      </c>
      <c r="F30" s="36" t="s">
        <v>156</v>
      </c>
      <c r="G30" s="42">
        <f t="shared" ca="1" si="2"/>
        <v>4797247211794</v>
      </c>
      <c r="H30" s="43">
        <f t="shared" ca="1" si="3"/>
        <v>39335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25</v>
      </c>
      <c r="D31" s="36" t="s">
        <v>153</v>
      </c>
      <c r="E31" s="36">
        <f t="shared" ca="1" si="1"/>
        <v>30</v>
      </c>
      <c r="F31" s="36" t="s">
        <v>163</v>
      </c>
      <c r="G31" s="42">
        <f t="shared" ca="1" si="2"/>
        <v>8509144907839</v>
      </c>
      <c r="H31" s="43">
        <f t="shared" ca="1" si="3"/>
        <v>37787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30</v>
      </c>
      <c r="D32" s="36" t="s">
        <v>152</v>
      </c>
      <c r="E32" s="36">
        <f t="shared" ca="1" si="1"/>
        <v>23</v>
      </c>
      <c r="F32" s="36" t="s">
        <v>169</v>
      </c>
      <c r="G32" s="42">
        <f t="shared" ca="1" si="2"/>
        <v>2942040441097</v>
      </c>
      <c r="H32" s="43">
        <f t="shared" ca="1" si="3"/>
        <v>41603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28</v>
      </c>
      <c r="D33" s="36" t="s">
        <v>152</v>
      </c>
      <c r="E33" s="36">
        <f t="shared" ca="1" si="1"/>
        <v>20</v>
      </c>
      <c r="F33" s="36" t="s">
        <v>154</v>
      </c>
      <c r="G33" s="42">
        <f t="shared" ca="1" si="2"/>
        <v>5398825949163</v>
      </c>
      <c r="H33" s="43">
        <f t="shared" ca="1" si="3"/>
        <v>37720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30</v>
      </c>
      <c r="D34" s="36" t="s">
        <v>153</v>
      </c>
      <c r="E34" s="36">
        <f t="shared" ca="1" si="1"/>
        <v>29</v>
      </c>
      <c r="F34" s="36" t="s">
        <v>169</v>
      </c>
      <c r="G34" s="42">
        <f t="shared" ca="1" si="2"/>
        <v>5317352070069</v>
      </c>
      <c r="H34" s="43">
        <f t="shared" ca="1" si="3"/>
        <v>42986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28</v>
      </c>
      <c r="D35" s="36" t="s">
        <v>152</v>
      </c>
      <c r="E35" s="36">
        <f t="shared" ca="1" si="1"/>
        <v>29</v>
      </c>
      <c r="F35" s="36" t="s">
        <v>156</v>
      </c>
      <c r="G35" s="42">
        <f t="shared" ca="1" si="2"/>
        <v>8980191394938</v>
      </c>
      <c r="H35" s="43">
        <f t="shared" ca="1" si="3"/>
        <v>40927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29</v>
      </c>
      <c r="D36" s="36" t="s">
        <v>153</v>
      </c>
      <c r="E36" s="36">
        <f t="shared" ca="1" si="1"/>
        <v>25</v>
      </c>
      <c r="F36" s="36" t="s">
        <v>169</v>
      </c>
      <c r="G36" s="42">
        <f t="shared" ca="1" si="2"/>
        <v>2225986712007</v>
      </c>
      <c r="H36" s="43">
        <f t="shared" ca="1" si="3"/>
        <v>40954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28</v>
      </c>
      <c r="D37" s="36" t="s">
        <v>152</v>
      </c>
      <c r="E37" s="36">
        <f t="shared" ref="E37:E68" ca="1" si="5">RANDBETWEEN(18,41)</f>
        <v>22</v>
      </c>
      <c r="F37" s="36" t="s">
        <v>169</v>
      </c>
      <c r="G37" s="42">
        <f t="shared" ref="G37:G68" ca="1" si="6">RANDBETWEEN(2000000000101,9000000009999)</f>
        <v>4035205898255</v>
      </c>
      <c r="H37" s="43">
        <f t="shared" ref="H37:H68" ca="1" si="7">RANDBETWEEN(DATE(2001,1,1),DATE(2018,7,15))</f>
        <v>39103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27</v>
      </c>
      <c r="D38" s="36" t="s">
        <v>153</v>
      </c>
      <c r="E38" s="36">
        <f t="shared" ca="1" si="5"/>
        <v>29</v>
      </c>
      <c r="F38" s="36" t="s">
        <v>169</v>
      </c>
      <c r="G38" s="42">
        <f t="shared" ca="1" si="6"/>
        <v>2764507369753</v>
      </c>
      <c r="H38" s="43">
        <f t="shared" ca="1" si="7"/>
        <v>39028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29</v>
      </c>
      <c r="D39" s="36" t="s">
        <v>153</v>
      </c>
      <c r="E39" s="36">
        <f t="shared" ca="1" si="5"/>
        <v>31</v>
      </c>
      <c r="F39" s="36" t="s">
        <v>156</v>
      </c>
      <c r="G39" s="42">
        <f t="shared" ca="1" si="6"/>
        <v>7694496620034</v>
      </c>
      <c r="H39" s="43">
        <f t="shared" ca="1" si="7"/>
        <v>41672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30</v>
      </c>
      <c r="D40" s="36" t="s">
        <v>152</v>
      </c>
      <c r="E40" s="36">
        <f t="shared" ca="1" si="5"/>
        <v>19</v>
      </c>
      <c r="F40" s="36" t="s">
        <v>155</v>
      </c>
      <c r="G40" s="42">
        <f t="shared" ca="1" si="6"/>
        <v>3724675241344</v>
      </c>
      <c r="H40" s="43">
        <f t="shared" ca="1" si="7"/>
        <v>39625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25</v>
      </c>
      <c r="D41" s="36" t="s">
        <v>152</v>
      </c>
      <c r="E41" s="36">
        <f t="shared" ca="1" si="5"/>
        <v>36</v>
      </c>
      <c r="F41" s="36" t="s">
        <v>169</v>
      </c>
      <c r="G41" s="42">
        <f t="shared" ca="1" si="6"/>
        <v>2759646846404</v>
      </c>
      <c r="H41" s="43">
        <f t="shared" ca="1" si="7"/>
        <v>43118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27</v>
      </c>
      <c r="D42" s="36" t="s">
        <v>153</v>
      </c>
      <c r="E42" s="36">
        <f t="shared" ca="1" si="5"/>
        <v>36</v>
      </c>
      <c r="F42" s="36" t="s">
        <v>158</v>
      </c>
      <c r="G42" s="42">
        <f t="shared" ca="1" si="6"/>
        <v>2153927111279</v>
      </c>
      <c r="H42" s="43">
        <f t="shared" ca="1" si="7"/>
        <v>39344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29</v>
      </c>
      <c r="D43" s="36" t="s">
        <v>153</v>
      </c>
      <c r="E43" s="36">
        <f t="shared" ca="1" si="5"/>
        <v>25</v>
      </c>
      <c r="F43" s="36" t="s">
        <v>159</v>
      </c>
      <c r="G43" s="42">
        <f t="shared" ca="1" si="6"/>
        <v>5537794667563</v>
      </c>
      <c r="H43" s="43">
        <f t="shared" ca="1" si="7"/>
        <v>42393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26</v>
      </c>
      <c r="D44" s="36" t="s">
        <v>152</v>
      </c>
      <c r="E44" s="36">
        <f t="shared" ca="1" si="5"/>
        <v>18</v>
      </c>
      <c r="F44" s="36" t="s">
        <v>156</v>
      </c>
      <c r="G44" s="42">
        <f t="shared" ca="1" si="6"/>
        <v>7067536341981</v>
      </c>
      <c r="H44" s="43">
        <f t="shared" ca="1" si="7"/>
        <v>37071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25</v>
      </c>
      <c r="D45" s="36" t="s">
        <v>153</v>
      </c>
      <c r="E45" s="36">
        <f t="shared" ca="1" si="5"/>
        <v>38</v>
      </c>
      <c r="F45" s="36" t="s">
        <v>169</v>
      </c>
      <c r="G45" s="42">
        <f t="shared" ca="1" si="6"/>
        <v>3574750478143</v>
      </c>
      <c r="H45" s="43">
        <f t="shared" ca="1" si="7"/>
        <v>38836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27</v>
      </c>
      <c r="D46" s="36" t="s">
        <v>153</v>
      </c>
      <c r="E46" s="36">
        <f t="shared" ca="1" si="5"/>
        <v>26</v>
      </c>
      <c r="F46" s="36" t="s">
        <v>156</v>
      </c>
      <c r="G46" s="42">
        <f t="shared" ca="1" si="6"/>
        <v>6948614066486</v>
      </c>
      <c r="H46" s="43">
        <f t="shared" ca="1" si="7"/>
        <v>41299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26</v>
      </c>
      <c r="D47" s="36" t="s">
        <v>152</v>
      </c>
      <c r="E47" s="36">
        <f t="shared" ca="1" si="5"/>
        <v>26</v>
      </c>
      <c r="F47" s="36" t="s">
        <v>169</v>
      </c>
      <c r="G47" s="42">
        <f t="shared" ca="1" si="6"/>
        <v>5682405371059</v>
      </c>
      <c r="H47" s="43">
        <f t="shared" ca="1" si="7"/>
        <v>40843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25</v>
      </c>
      <c r="D48" s="36" t="s">
        <v>153</v>
      </c>
      <c r="E48" s="36">
        <f t="shared" ca="1" si="5"/>
        <v>27</v>
      </c>
      <c r="F48" s="36" t="s">
        <v>159</v>
      </c>
      <c r="G48" s="42">
        <f t="shared" ca="1" si="6"/>
        <v>4995289375093</v>
      </c>
      <c r="H48" s="43">
        <f t="shared" ca="1" si="7"/>
        <v>37782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30</v>
      </c>
      <c r="D49" s="36" t="s">
        <v>153</v>
      </c>
      <c r="E49" s="36">
        <f t="shared" ca="1" si="5"/>
        <v>29</v>
      </c>
      <c r="F49" s="36" t="s">
        <v>156</v>
      </c>
      <c r="G49" s="42">
        <f t="shared" ca="1" si="6"/>
        <v>7590642605812</v>
      </c>
      <c r="H49" s="43">
        <f t="shared" ca="1" si="7"/>
        <v>39536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27</v>
      </c>
      <c r="D50" s="36" t="s">
        <v>153</v>
      </c>
      <c r="E50" s="36">
        <f t="shared" ca="1" si="5"/>
        <v>36</v>
      </c>
      <c r="F50" s="36" t="s">
        <v>169</v>
      </c>
      <c r="G50" s="42">
        <f t="shared" ca="1" si="6"/>
        <v>7570753316359</v>
      </c>
      <c r="H50" s="43">
        <f t="shared" ca="1" si="7"/>
        <v>39917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26</v>
      </c>
      <c r="D51" s="36" t="s">
        <v>152</v>
      </c>
      <c r="E51" s="36">
        <f t="shared" ca="1" si="5"/>
        <v>27</v>
      </c>
      <c r="F51" s="36" t="s">
        <v>169</v>
      </c>
      <c r="G51" s="42">
        <f t="shared" ca="1" si="6"/>
        <v>3486877656422</v>
      </c>
      <c r="H51" s="43">
        <f t="shared" ca="1" si="7"/>
        <v>42835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28</v>
      </c>
      <c r="D52" s="36" t="s">
        <v>153</v>
      </c>
      <c r="E52" s="36">
        <f t="shared" ca="1" si="5"/>
        <v>36</v>
      </c>
      <c r="F52" s="36" t="s">
        <v>155</v>
      </c>
      <c r="G52" s="42">
        <f t="shared" ca="1" si="6"/>
        <v>3363738372657</v>
      </c>
      <c r="H52" s="43">
        <f t="shared" ca="1" si="7"/>
        <v>38438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27</v>
      </c>
      <c r="D53" s="36" t="s">
        <v>152</v>
      </c>
      <c r="E53" s="36">
        <f t="shared" ca="1" si="5"/>
        <v>40</v>
      </c>
      <c r="F53" s="36" t="s">
        <v>169</v>
      </c>
      <c r="G53" s="42">
        <f t="shared" ca="1" si="6"/>
        <v>2966623274482</v>
      </c>
      <c r="H53" s="43">
        <f t="shared" ca="1" si="7"/>
        <v>40245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28</v>
      </c>
      <c r="D54" s="36" t="s">
        <v>152</v>
      </c>
      <c r="E54" s="36">
        <f t="shared" ca="1" si="5"/>
        <v>19</v>
      </c>
      <c r="F54" s="36" t="s">
        <v>167</v>
      </c>
      <c r="G54" s="42">
        <f t="shared" ca="1" si="6"/>
        <v>6605826995325</v>
      </c>
      <c r="H54" s="43">
        <f t="shared" ca="1" si="7"/>
        <v>38810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25</v>
      </c>
      <c r="D55" s="36" t="s">
        <v>152</v>
      </c>
      <c r="E55" s="36">
        <f t="shared" ca="1" si="5"/>
        <v>32</v>
      </c>
      <c r="F55" s="36" t="s">
        <v>156</v>
      </c>
      <c r="G55" s="42">
        <f t="shared" ca="1" si="6"/>
        <v>3168036736647</v>
      </c>
      <c r="H55" s="43">
        <f t="shared" ca="1" si="7"/>
        <v>39804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25</v>
      </c>
      <c r="D56" s="36" t="s">
        <v>153</v>
      </c>
      <c r="E56" s="36">
        <f t="shared" ca="1" si="5"/>
        <v>28</v>
      </c>
      <c r="F56" s="36" t="s">
        <v>156</v>
      </c>
      <c r="G56" s="42">
        <f t="shared" ca="1" si="6"/>
        <v>6418486162946</v>
      </c>
      <c r="H56" s="43">
        <f t="shared" ca="1" si="7"/>
        <v>41903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28</v>
      </c>
      <c r="D57" s="36" t="s">
        <v>152</v>
      </c>
      <c r="E57" s="36">
        <f t="shared" ca="1" si="5"/>
        <v>28</v>
      </c>
      <c r="F57" s="36" t="s">
        <v>169</v>
      </c>
      <c r="G57" s="42">
        <f t="shared" ca="1" si="6"/>
        <v>4246613907023</v>
      </c>
      <c r="H57" s="43">
        <f t="shared" ca="1" si="7"/>
        <v>37343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27</v>
      </c>
      <c r="D58" s="36" t="s">
        <v>152</v>
      </c>
      <c r="E58" s="36">
        <f t="shared" ca="1" si="5"/>
        <v>18</v>
      </c>
      <c r="F58" s="36" t="s">
        <v>166</v>
      </c>
      <c r="G58" s="42">
        <f t="shared" ca="1" si="6"/>
        <v>3875663609569</v>
      </c>
      <c r="H58" s="43">
        <f t="shared" ca="1" si="7"/>
        <v>40398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27</v>
      </c>
      <c r="D59" s="36" t="s">
        <v>153</v>
      </c>
      <c r="E59" s="36">
        <f t="shared" ca="1" si="5"/>
        <v>41</v>
      </c>
      <c r="F59" s="36" t="s">
        <v>159</v>
      </c>
      <c r="G59" s="42">
        <f t="shared" ca="1" si="6"/>
        <v>4466619579139</v>
      </c>
      <c r="H59" s="43">
        <f t="shared" ca="1" si="7"/>
        <v>37750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28</v>
      </c>
      <c r="D60" s="36" t="s">
        <v>152</v>
      </c>
      <c r="E60" s="36">
        <f t="shared" ca="1" si="5"/>
        <v>41</v>
      </c>
      <c r="F60" s="36" t="s">
        <v>165</v>
      </c>
      <c r="G60" s="42">
        <f t="shared" ca="1" si="6"/>
        <v>5608326455899</v>
      </c>
      <c r="H60" s="43">
        <f t="shared" ca="1" si="7"/>
        <v>36926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26</v>
      </c>
      <c r="D61" s="36" t="s">
        <v>153</v>
      </c>
      <c r="E61" s="36">
        <f t="shared" ca="1" si="5"/>
        <v>25</v>
      </c>
      <c r="F61" s="36" t="s">
        <v>163</v>
      </c>
      <c r="G61" s="42">
        <f t="shared" ca="1" si="6"/>
        <v>2482679334562</v>
      </c>
      <c r="H61" s="43">
        <f t="shared" ca="1" si="7"/>
        <v>38849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29</v>
      </c>
      <c r="D62" s="36" t="s">
        <v>152</v>
      </c>
      <c r="E62" s="36">
        <f t="shared" ca="1" si="5"/>
        <v>39</v>
      </c>
      <c r="F62" s="36" t="s">
        <v>154</v>
      </c>
      <c r="G62" s="42">
        <f t="shared" ca="1" si="6"/>
        <v>2775499296874</v>
      </c>
      <c r="H62" s="43">
        <f t="shared" ca="1" si="7"/>
        <v>41685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30</v>
      </c>
      <c r="D63" s="36" t="s">
        <v>153</v>
      </c>
      <c r="E63" s="36">
        <f t="shared" ca="1" si="5"/>
        <v>33</v>
      </c>
      <c r="F63" s="36" t="s">
        <v>161</v>
      </c>
      <c r="G63" s="42">
        <f t="shared" ca="1" si="6"/>
        <v>4435526267791</v>
      </c>
      <c r="H63" s="43">
        <f t="shared" ca="1" si="7"/>
        <v>38744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28</v>
      </c>
      <c r="D64" s="36" t="s">
        <v>153</v>
      </c>
      <c r="E64" s="36">
        <f t="shared" ca="1" si="5"/>
        <v>21</v>
      </c>
      <c r="F64" s="36" t="s">
        <v>156</v>
      </c>
      <c r="G64" s="42">
        <f t="shared" ca="1" si="6"/>
        <v>4890435177394</v>
      </c>
      <c r="H64" s="43">
        <f t="shared" ca="1" si="7"/>
        <v>38476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30</v>
      </c>
      <c r="D65" s="36" t="s">
        <v>152</v>
      </c>
      <c r="E65" s="36">
        <f t="shared" ca="1" si="5"/>
        <v>36</v>
      </c>
      <c r="F65" s="36" t="s">
        <v>160</v>
      </c>
      <c r="G65" s="42">
        <f t="shared" ca="1" si="6"/>
        <v>5586618034639</v>
      </c>
      <c r="H65" s="43">
        <f t="shared" ca="1" si="7"/>
        <v>40179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27</v>
      </c>
      <c r="D66" s="36" t="s">
        <v>153</v>
      </c>
      <c r="E66" s="36">
        <f t="shared" ca="1" si="5"/>
        <v>28</v>
      </c>
      <c r="F66" s="36" t="s">
        <v>164</v>
      </c>
      <c r="G66" s="42">
        <f t="shared" ca="1" si="6"/>
        <v>2435306507553</v>
      </c>
      <c r="H66" s="43">
        <f t="shared" ca="1" si="7"/>
        <v>43050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30</v>
      </c>
      <c r="D67" s="36" t="s">
        <v>152</v>
      </c>
      <c r="E67" s="36">
        <f t="shared" ca="1" si="5"/>
        <v>36</v>
      </c>
      <c r="F67" s="36" t="s">
        <v>156</v>
      </c>
      <c r="G67" s="42">
        <f t="shared" ca="1" si="6"/>
        <v>5511061464009</v>
      </c>
      <c r="H67" s="43">
        <f t="shared" ca="1" si="7"/>
        <v>37354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26</v>
      </c>
      <c r="D68" s="36" t="s">
        <v>152</v>
      </c>
      <c r="E68" s="36">
        <f t="shared" ca="1" si="5"/>
        <v>32</v>
      </c>
      <c r="F68" s="36" t="s">
        <v>169</v>
      </c>
      <c r="G68" s="42">
        <f t="shared" ca="1" si="6"/>
        <v>7404874301196</v>
      </c>
      <c r="H68" s="43">
        <f t="shared" ca="1" si="7"/>
        <v>39210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28</v>
      </c>
      <c r="D69" s="36" t="s">
        <v>152</v>
      </c>
      <c r="E69" s="36">
        <f t="shared" ref="E69:E104" ca="1" si="9">RANDBETWEEN(18,41)</f>
        <v>36</v>
      </c>
      <c r="F69" s="36" t="s">
        <v>169</v>
      </c>
      <c r="G69" s="42">
        <f t="shared" ref="G69:G104" ca="1" si="10">RANDBETWEEN(2000000000101,9000000009999)</f>
        <v>8334938293771</v>
      </c>
      <c r="H69" s="43">
        <f t="shared" ref="H69:H104" ca="1" si="11">RANDBETWEEN(DATE(2001,1,1),DATE(2018,7,15))</f>
        <v>40942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28</v>
      </c>
      <c r="D70" s="36" t="s">
        <v>153</v>
      </c>
      <c r="E70" s="36">
        <f t="shared" ca="1" si="9"/>
        <v>20</v>
      </c>
      <c r="F70" s="36" t="s">
        <v>155</v>
      </c>
      <c r="G70" s="42">
        <f t="shared" ca="1" si="10"/>
        <v>5943990552035</v>
      </c>
      <c r="H70" s="43">
        <f t="shared" ca="1" si="11"/>
        <v>39226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28</v>
      </c>
      <c r="D71" s="36" t="s">
        <v>152</v>
      </c>
      <c r="E71" s="36">
        <f t="shared" ca="1" si="9"/>
        <v>27</v>
      </c>
      <c r="F71" s="36" t="s">
        <v>169</v>
      </c>
      <c r="G71" s="42">
        <f t="shared" ca="1" si="10"/>
        <v>4725704125903</v>
      </c>
      <c r="H71" s="43">
        <f t="shared" ca="1" si="11"/>
        <v>39150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25</v>
      </c>
      <c r="D72" s="36" t="s">
        <v>152</v>
      </c>
      <c r="E72" s="36">
        <f t="shared" ca="1" si="9"/>
        <v>21</v>
      </c>
      <c r="F72" s="36" t="s">
        <v>156</v>
      </c>
      <c r="G72" s="42">
        <f t="shared" ca="1" si="10"/>
        <v>2582256920267</v>
      </c>
      <c r="H72" s="43">
        <f t="shared" ca="1" si="11"/>
        <v>39036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27</v>
      </c>
      <c r="D73" s="36" t="s">
        <v>153</v>
      </c>
      <c r="E73" s="36">
        <f t="shared" ca="1" si="9"/>
        <v>23</v>
      </c>
      <c r="F73" s="36" t="s">
        <v>163</v>
      </c>
      <c r="G73" s="42">
        <f t="shared" ca="1" si="10"/>
        <v>8842197709565</v>
      </c>
      <c r="H73" s="43">
        <f t="shared" ca="1" si="11"/>
        <v>38222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27</v>
      </c>
      <c r="D74" s="36" t="s">
        <v>152</v>
      </c>
      <c r="E74" s="36">
        <f t="shared" ca="1" si="9"/>
        <v>33</v>
      </c>
      <c r="F74" s="36" t="s">
        <v>169</v>
      </c>
      <c r="G74" s="42">
        <f t="shared" ca="1" si="10"/>
        <v>4507282492030</v>
      </c>
      <c r="H74" s="43">
        <f t="shared" ca="1" si="11"/>
        <v>38395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27</v>
      </c>
      <c r="D75" s="36" t="s">
        <v>152</v>
      </c>
      <c r="E75" s="36">
        <f t="shared" ca="1" si="9"/>
        <v>31</v>
      </c>
      <c r="F75" s="36" t="s">
        <v>156</v>
      </c>
      <c r="G75" s="42">
        <f t="shared" ca="1" si="10"/>
        <v>6037730101941</v>
      </c>
      <c r="H75" s="43">
        <f t="shared" ca="1" si="11"/>
        <v>38281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25</v>
      </c>
      <c r="D76" s="36" t="s">
        <v>153</v>
      </c>
      <c r="E76" s="36">
        <f t="shared" ca="1" si="9"/>
        <v>26</v>
      </c>
      <c r="F76" s="36" t="s">
        <v>156</v>
      </c>
      <c r="G76" s="42">
        <f t="shared" ca="1" si="10"/>
        <v>6199876042024</v>
      </c>
      <c r="H76" s="43">
        <f t="shared" ca="1" si="11"/>
        <v>38570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29</v>
      </c>
      <c r="D77" s="36" t="s">
        <v>152</v>
      </c>
      <c r="E77" s="36">
        <f t="shared" ca="1" si="9"/>
        <v>33</v>
      </c>
      <c r="F77" s="36" t="s">
        <v>156</v>
      </c>
      <c r="G77" s="42">
        <f t="shared" ca="1" si="10"/>
        <v>7979109567247</v>
      </c>
      <c r="H77" s="43">
        <f t="shared" ca="1" si="11"/>
        <v>37204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27</v>
      </c>
      <c r="D78" s="36" t="s">
        <v>152</v>
      </c>
      <c r="E78" s="36">
        <f t="shared" ca="1" si="9"/>
        <v>20</v>
      </c>
      <c r="F78" s="36" t="s">
        <v>156</v>
      </c>
      <c r="G78" s="42">
        <f t="shared" ca="1" si="10"/>
        <v>6883268053493</v>
      </c>
      <c r="H78" s="43">
        <f t="shared" ca="1" si="11"/>
        <v>39517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28</v>
      </c>
      <c r="D79" s="36" t="s">
        <v>152</v>
      </c>
      <c r="E79" s="36">
        <f t="shared" ca="1" si="9"/>
        <v>38</v>
      </c>
      <c r="F79" s="36" t="s">
        <v>156</v>
      </c>
      <c r="G79" s="42">
        <f t="shared" ca="1" si="10"/>
        <v>2904300160081</v>
      </c>
      <c r="H79" s="43">
        <f t="shared" ca="1" si="11"/>
        <v>41359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28</v>
      </c>
      <c r="D80" s="36" t="s">
        <v>153</v>
      </c>
      <c r="E80" s="36">
        <f t="shared" ca="1" si="9"/>
        <v>36</v>
      </c>
      <c r="F80" s="36" t="s">
        <v>159</v>
      </c>
      <c r="G80" s="42">
        <f t="shared" ca="1" si="10"/>
        <v>2105757325742</v>
      </c>
      <c r="H80" s="43">
        <f t="shared" ca="1" si="11"/>
        <v>42117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28</v>
      </c>
      <c r="D81" s="36" t="s">
        <v>152</v>
      </c>
      <c r="E81" s="36">
        <f t="shared" ca="1" si="9"/>
        <v>36</v>
      </c>
      <c r="F81" s="36" t="s">
        <v>169</v>
      </c>
      <c r="G81" s="42">
        <f t="shared" ca="1" si="10"/>
        <v>8675399623791</v>
      </c>
      <c r="H81" s="43">
        <f t="shared" ca="1" si="11"/>
        <v>37346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29</v>
      </c>
      <c r="D82" s="36" t="s">
        <v>152</v>
      </c>
      <c r="E82" s="36">
        <f t="shared" ca="1" si="9"/>
        <v>39</v>
      </c>
      <c r="F82" s="36" t="s">
        <v>154</v>
      </c>
      <c r="G82" s="42">
        <f t="shared" ca="1" si="10"/>
        <v>8791179309187</v>
      </c>
      <c r="H82" s="43">
        <f t="shared" ca="1" si="11"/>
        <v>38625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29</v>
      </c>
      <c r="D83" s="36" t="s">
        <v>153</v>
      </c>
      <c r="E83" s="36">
        <f t="shared" ca="1" si="9"/>
        <v>30</v>
      </c>
      <c r="F83" s="36" t="s">
        <v>169</v>
      </c>
      <c r="G83" s="42">
        <f t="shared" ca="1" si="10"/>
        <v>6025383026474</v>
      </c>
      <c r="H83" s="43">
        <f t="shared" ca="1" si="11"/>
        <v>41686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28</v>
      </c>
      <c r="D84" s="36" t="s">
        <v>152</v>
      </c>
      <c r="E84" s="36">
        <f t="shared" ca="1" si="9"/>
        <v>18</v>
      </c>
      <c r="F84" s="36" t="s">
        <v>156</v>
      </c>
      <c r="G84" s="42">
        <f t="shared" ca="1" si="10"/>
        <v>7963270718348</v>
      </c>
      <c r="H84" s="43">
        <f t="shared" ca="1" si="11"/>
        <v>38051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26</v>
      </c>
      <c r="D85" s="36" t="s">
        <v>153</v>
      </c>
      <c r="E85" s="36">
        <f t="shared" ca="1" si="9"/>
        <v>35</v>
      </c>
      <c r="F85" s="36" t="s">
        <v>156</v>
      </c>
      <c r="G85" s="42">
        <f t="shared" ca="1" si="10"/>
        <v>3441052876473</v>
      </c>
      <c r="H85" s="43">
        <f t="shared" ca="1" si="11"/>
        <v>42060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27</v>
      </c>
      <c r="D86" s="36" t="s">
        <v>153</v>
      </c>
      <c r="E86" s="36">
        <f t="shared" ca="1" si="9"/>
        <v>35</v>
      </c>
      <c r="F86" s="36" t="s">
        <v>155</v>
      </c>
      <c r="G86" s="42">
        <f t="shared" ca="1" si="10"/>
        <v>3475489093614</v>
      </c>
      <c r="H86" s="43">
        <f t="shared" ca="1" si="11"/>
        <v>38722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28</v>
      </c>
      <c r="D87" s="36" t="s">
        <v>153</v>
      </c>
      <c r="E87" s="36">
        <f t="shared" ca="1" si="9"/>
        <v>37</v>
      </c>
      <c r="F87" s="36" t="s">
        <v>169</v>
      </c>
      <c r="G87" s="42">
        <f t="shared" ca="1" si="10"/>
        <v>3773373085684</v>
      </c>
      <c r="H87" s="43">
        <f t="shared" ca="1" si="11"/>
        <v>39343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29</v>
      </c>
      <c r="D88" s="36" t="s">
        <v>153</v>
      </c>
      <c r="E88" s="36">
        <f t="shared" ca="1" si="9"/>
        <v>18</v>
      </c>
      <c r="F88" s="36" t="s">
        <v>156</v>
      </c>
      <c r="G88" s="42">
        <f t="shared" ca="1" si="10"/>
        <v>5187679330037</v>
      </c>
      <c r="H88" s="43">
        <f t="shared" ca="1" si="11"/>
        <v>37252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30</v>
      </c>
      <c r="D89" s="36" t="s">
        <v>153</v>
      </c>
      <c r="E89" s="36">
        <f t="shared" ca="1" si="9"/>
        <v>35</v>
      </c>
      <c r="F89" s="36" t="s">
        <v>155</v>
      </c>
      <c r="G89" s="42">
        <f t="shared" ca="1" si="10"/>
        <v>8717204889585</v>
      </c>
      <c r="H89" s="43">
        <f t="shared" ca="1" si="11"/>
        <v>43203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25</v>
      </c>
      <c r="D90" s="36" t="s">
        <v>153</v>
      </c>
      <c r="E90" s="36">
        <f t="shared" ca="1" si="9"/>
        <v>32</v>
      </c>
      <c r="F90" s="36" t="s">
        <v>168</v>
      </c>
      <c r="G90" s="42">
        <f t="shared" ca="1" si="10"/>
        <v>3823811812636</v>
      </c>
      <c r="H90" s="43">
        <f t="shared" ca="1" si="11"/>
        <v>39799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29</v>
      </c>
      <c r="D91" s="36" t="s">
        <v>152</v>
      </c>
      <c r="E91" s="36">
        <f t="shared" ca="1" si="9"/>
        <v>40</v>
      </c>
      <c r="F91" s="36" t="s">
        <v>169</v>
      </c>
      <c r="G91" s="42">
        <f t="shared" ca="1" si="10"/>
        <v>5786311197541</v>
      </c>
      <c r="H91" s="43">
        <f t="shared" ca="1" si="11"/>
        <v>41907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28</v>
      </c>
      <c r="D92" s="36" t="s">
        <v>153</v>
      </c>
      <c r="E92" s="36">
        <f t="shared" ca="1" si="9"/>
        <v>35</v>
      </c>
      <c r="F92" s="36" t="s">
        <v>169</v>
      </c>
      <c r="G92" s="42">
        <f t="shared" ca="1" si="10"/>
        <v>3023819816688</v>
      </c>
      <c r="H92" s="43">
        <f t="shared" ca="1" si="11"/>
        <v>36900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29</v>
      </c>
      <c r="D93" s="36" t="s">
        <v>152</v>
      </c>
      <c r="E93" s="36">
        <f t="shared" ca="1" si="9"/>
        <v>40</v>
      </c>
      <c r="F93" s="36" t="s">
        <v>169</v>
      </c>
      <c r="G93" s="42">
        <f t="shared" ca="1" si="10"/>
        <v>6967560413929</v>
      </c>
      <c r="H93" s="43">
        <f t="shared" ca="1" si="11"/>
        <v>39098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29</v>
      </c>
      <c r="D94" s="36" t="s">
        <v>153</v>
      </c>
      <c r="E94" s="36">
        <f t="shared" ca="1" si="9"/>
        <v>20</v>
      </c>
      <c r="F94" s="36" t="s">
        <v>156</v>
      </c>
      <c r="G94" s="42">
        <f t="shared" ca="1" si="10"/>
        <v>3445304389942</v>
      </c>
      <c r="H94" s="43">
        <f t="shared" ca="1" si="11"/>
        <v>42878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29</v>
      </c>
      <c r="D95" s="36" t="s">
        <v>152</v>
      </c>
      <c r="E95" s="36">
        <f t="shared" ca="1" si="9"/>
        <v>29</v>
      </c>
      <c r="F95" s="36" t="s">
        <v>169</v>
      </c>
      <c r="G95" s="42">
        <f t="shared" ca="1" si="10"/>
        <v>5053495042641</v>
      </c>
      <c r="H95" s="43">
        <f t="shared" ca="1" si="11"/>
        <v>38181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30</v>
      </c>
      <c r="D96" s="36" t="s">
        <v>152</v>
      </c>
      <c r="E96" s="36">
        <f t="shared" ca="1" si="9"/>
        <v>37</v>
      </c>
      <c r="F96" s="36" t="s">
        <v>154</v>
      </c>
      <c r="G96" s="42">
        <f t="shared" ca="1" si="10"/>
        <v>8399774569097</v>
      </c>
      <c r="H96" s="43">
        <f t="shared" ca="1" si="11"/>
        <v>39787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30</v>
      </c>
      <c r="D97" s="36" t="s">
        <v>152</v>
      </c>
      <c r="E97" s="36">
        <f t="shared" ca="1" si="9"/>
        <v>31</v>
      </c>
      <c r="F97" s="36" t="s">
        <v>169</v>
      </c>
      <c r="G97" s="42">
        <f t="shared" ca="1" si="10"/>
        <v>2723636422719</v>
      </c>
      <c r="H97" s="43">
        <f t="shared" ca="1" si="11"/>
        <v>38077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27</v>
      </c>
      <c r="D98" s="36" t="s">
        <v>152</v>
      </c>
      <c r="E98" s="36">
        <f t="shared" ca="1" si="9"/>
        <v>38</v>
      </c>
      <c r="F98" s="36" t="s">
        <v>169</v>
      </c>
      <c r="G98" s="42">
        <f t="shared" ca="1" si="10"/>
        <v>3974645134913</v>
      </c>
      <c r="H98" s="43">
        <f t="shared" ca="1" si="11"/>
        <v>38299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29</v>
      </c>
      <c r="D99" s="36" t="s">
        <v>152</v>
      </c>
      <c r="E99" s="36">
        <f t="shared" ca="1" si="9"/>
        <v>32</v>
      </c>
      <c r="F99" s="36" t="s">
        <v>156</v>
      </c>
      <c r="G99" s="42">
        <f t="shared" ca="1" si="10"/>
        <v>2131560870402</v>
      </c>
      <c r="H99" s="43">
        <f t="shared" ca="1" si="11"/>
        <v>39664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25</v>
      </c>
      <c r="D100" s="36" t="s">
        <v>152</v>
      </c>
      <c r="E100" s="36">
        <f t="shared" ca="1" si="9"/>
        <v>37</v>
      </c>
      <c r="F100" s="36" t="s">
        <v>157</v>
      </c>
      <c r="G100" s="42">
        <f t="shared" ca="1" si="10"/>
        <v>3417092811445</v>
      </c>
      <c r="H100" s="43">
        <f t="shared" ca="1" si="11"/>
        <v>41826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25</v>
      </c>
      <c r="D101" s="36" t="s">
        <v>153</v>
      </c>
      <c r="E101" s="36">
        <f t="shared" ca="1" si="9"/>
        <v>37</v>
      </c>
      <c r="F101" s="36" t="s">
        <v>168</v>
      </c>
      <c r="G101" s="42">
        <f t="shared" ca="1" si="10"/>
        <v>4455769291839</v>
      </c>
      <c r="H101" s="43">
        <f t="shared" ca="1" si="11"/>
        <v>37160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25</v>
      </c>
      <c r="D102" s="36" t="s">
        <v>153</v>
      </c>
      <c r="E102" s="36">
        <f t="shared" ca="1" si="9"/>
        <v>41</v>
      </c>
      <c r="F102" s="36" t="s">
        <v>156</v>
      </c>
      <c r="G102" s="42">
        <f t="shared" ca="1" si="10"/>
        <v>4554196508226</v>
      </c>
      <c r="H102" s="43">
        <f t="shared" ca="1" si="11"/>
        <v>40812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26</v>
      </c>
      <c r="D103" s="36" t="s">
        <v>152</v>
      </c>
      <c r="E103" s="36">
        <f t="shared" ca="1" si="9"/>
        <v>35</v>
      </c>
      <c r="F103" s="36" t="s">
        <v>155</v>
      </c>
      <c r="G103" s="42">
        <f t="shared" ca="1" si="10"/>
        <v>8417625338467</v>
      </c>
      <c r="H103" s="43">
        <f t="shared" ca="1" si="11"/>
        <v>40406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30</v>
      </c>
      <c r="D104" s="36" t="s">
        <v>152</v>
      </c>
      <c r="E104" s="36">
        <f t="shared" ca="1" si="9"/>
        <v>19</v>
      </c>
      <c r="F104" s="36" t="s">
        <v>167</v>
      </c>
      <c r="G104" s="42">
        <f t="shared" ca="1" si="10"/>
        <v>6416937288317</v>
      </c>
      <c r="H104" s="43">
        <f t="shared" ca="1" si="11"/>
        <v>39430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I30" sqref="I30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0" t="s">
        <v>45</v>
      </c>
      <c r="B2" s="70"/>
      <c r="C2" s="3"/>
      <c r="D2" s="3"/>
      <c r="E2" s="3"/>
      <c r="F2" s="74" t="s">
        <v>0</v>
      </c>
      <c r="G2" s="74"/>
      <c r="H2" s="74"/>
      <c r="I2" s="74"/>
      <c r="J2" s="74"/>
      <c r="K2" s="74"/>
      <c r="L2" s="74"/>
      <c r="M2" s="74"/>
      <c r="N2" s="74"/>
      <c r="O2" s="74"/>
      <c r="P2" s="74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74" t="s">
        <v>44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3"/>
      <c r="R3" s="3"/>
      <c r="S3" s="3"/>
    </row>
    <row r="4" spans="1:19" ht="15.75">
      <c r="A4" s="3"/>
      <c r="B4" s="3"/>
      <c r="C4" s="3"/>
      <c r="D4" s="75" t="s">
        <v>2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3"/>
    </row>
    <row r="5" spans="1:19">
      <c r="A5" s="3"/>
      <c r="B5" s="3"/>
      <c r="C5" s="3"/>
      <c r="D5" s="76" t="s">
        <v>3</v>
      </c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7" t="s">
        <v>186</v>
      </c>
      <c r="B8" s="87"/>
      <c r="C8" s="87"/>
      <c r="D8" s="7"/>
      <c r="E8" s="6">
        <f ca="1">VLOOKUP(E8,,TRUE)</f>
        <v>0</v>
      </c>
      <c r="F8" s="8"/>
      <c r="G8" s="7"/>
      <c r="H8" s="6" t="s">
        <v>152</v>
      </c>
      <c r="I8" s="7"/>
      <c r="J8" s="8"/>
      <c r="K8" s="86" t="s">
        <v>48</v>
      </c>
      <c r="L8" s="86"/>
      <c r="M8" s="86"/>
      <c r="N8" s="7"/>
      <c r="O8" s="8"/>
      <c r="P8" s="86" t="s">
        <v>154</v>
      </c>
      <c r="Q8" s="86"/>
      <c r="R8" s="86"/>
      <c r="S8" s="8"/>
    </row>
    <row r="9" spans="1:19">
      <c r="A9" s="82" t="s">
        <v>4</v>
      </c>
      <c r="B9" s="82"/>
      <c r="C9" s="82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87"/>
      <c r="B11" s="87"/>
      <c r="C11" s="87"/>
      <c r="D11" s="7"/>
      <c r="E11" s="8"/>
      <c r="F11" s="86"/>
      <c r="G11" s="86"/>
      <c r="H11" s="86"/>
      <c r="I11" s="7"/>
      <c r="J11" s="8"/>
      <c r="K11" s="86"/>
      <c r="L11" s="86"/>
      <c r="M11" s="86"/>
      <c r="N11" s="7"/>
      <c r="O11" s="8"/>
      <c r="P11" s="86"/>
      <c r="Q11" s="86"/>
      <c r="R11" s="86"/>
      <c r="S11" s="7"/>
    </row>
    <row r="12" spans="1:19">
      <c r="A12" s="82" t="s">
        <v>9</v>
      </c>
      <c r="B12" s="82"/>
      <c r="C12" s="82"/>
      <c r="D12" s="16"/>
      <c r="E12" s="8"/>
      <c r="F12" s="82" t="s">
        <v>10</v>
      </c>
      <c r="G12" s="82"/>
      <c r="H12" s="82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67" t="s">
        <v>13</v>
      </c>
      <c r="B14" s="20" t="s">
        <v>14</v>
      </c>
      <c r="C14" s="16" t="s">
        <v>15</v>
      </c>
      <c r="D14" s="67" t="s">
        <v>16</v>
      </c>
      <c r="E14" s="83" t="s">
        <v>17</v>
      </c>
      <c r="F14" s="84"/>
      <c r="G14" s="85" t="s">
        <v>18</v>
      </c>
      <c r="H14" s="80"/>
      <c r="I14" s="80"/>
      <c r="J14" s="80"/>
      <c r="K14" s="77" t="s">
        <v>19</v>
      </c>
      <c r="L14" s="80" t="s">
        <v>20</v>
      </c>
      <c r="M14" s="80"/>
      <c r="N14" s="81"/>
      <c r="O14" s="67" t="s">
        <v>21</v>
      </c>
      <c r="P14" s="67" t="s">
        <v>22</v>
      </c>
      <c r="Q14" s="67" t="s">
        <v>23</v>
      </c>
      <c r="R14" s="71" t="s">
        <v>24</v>
      </c>
      <c r="S14" s="71" t="s">
        <v>25</v>
      </c>
    </row>
    <row r="15" spans="1:19">
      <c r="A15" s="68"/>
      <c r="B15" s="21" t="s">
        <v>26</v>
      </c>
      <c r="C15" s="22" t="s">
        <v>27</v>
      </c>
      <c r="D15" s="68"/>
      <c r="E15" s="71" t="s">
        <v>28</v>
      </c>
      <c r="F15" s="23" t="s">
        <v>29</v>
      </c>
      <c r="G15" s="71" t="s">
        <v>30</v>
      </c>
      <c r="H15" s="24" t="s">
        <v>31</v>
      </c>
      <c r="I15" s="24" t="s">
        <v>32</v>
      </c>
      <c r="J15" s="71" t="s">
        <v>33</v>
      </c>
      <c r="K15" s="78"/>
      <c r="L15" s="71" t="s">
        <v>34</v>
      </c>
      <c r="M15" s="24" t="s">
        <v>35</v>
      </c>
      <c r="N15" s="23" t="s">
        <v>36</v>
      </c>
      <c r="O15" s="68"/>
      <c r="P15" s="68"/>
      <c r="Q15" s="68"/>
      <c r="R15" s="72"/>
      <c r="S15" s="72"/>
    </row>
    <row r="16" spans="1:19">
      <c r="A16" s="69"/>
      <c r="B16" s="25" t="s">
        <v>37</v>
      </c>
      <c r="C16" s="26" t="s">
        <v>38</v>
      </c>
      <c r="D16" s="69"/>
      <c r="E16" s="73"/>
      <c r="F16" s="27" t="s">
        <v>39</v>
      </c>
      <c r="G16" s="73"/>
      <c r="H16" s="28" t="s">
        <v>40</v>
      </c>
      <c r="I16" s="29" t="s">
        <v>41</v>
      </c>
      <c r="J16" s="73"/>
      <c r="K16" s="79"/>
      <c r="L16" s="73"/>
      <c r="M16" s="28" t="s">
        <v>42</v>
      </c>
      <c r="N16" s="30" t="s">
        <v>43</v>
      </c>
      <c r="O16" s="69"/>
      <c r="P16" s="69"/>
      <c r="Q16" s="69"/>
      <c r="R16" s="73"/>
      <c r="S16" s="73"/>
    </row>
    <row r="17" spans="1:19">
      <c r="A17" s="31">
        <v>5</v>
      </c>
      <c r="B17" s="7">
        <v>8</v>
      </c>
      <c r="C17" s="55">
        <v>3000</v>
      </c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2019-05-30T15:23:17Z</dcterms:modified>
</cp:coreProperties>
</file>